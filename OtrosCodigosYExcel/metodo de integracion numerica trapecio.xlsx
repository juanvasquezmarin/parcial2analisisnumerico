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ownloads\"/>
    </mc:Choice>
  </mc:AlternateContent>
  <xr:revisionPtr revIDLastSave="0" documentId="8_{F3B44A5D-D05A-49B4-9A64-E15BC8D18807}" xr6:coauthVersionLast="47" xr6:coauthVersionMax="47" xr10:uidLastSave="{00000000-0000-0000-0000-000000000000}"/>
  <bookViews>
    <workbookView minimized="1" xWindow="2124" yWindow="2124" windowWidth="17280" windowHeight="8880" xr2:uid="{5430FB11-FAF0-4C34-B9C7-220CE76F0EFF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" l="1"/>
  <c r="J3" i="1"/>
  <c r="J15" i="1"/>
  <c r="J14" i="1"/>
  <c r="J4" i="1"/>
  <c r="J5" i="1"/>
  <c r="J6" i="1"/>
  <c r="J7" i="1"/>
  <c r="J8" i="1"/>
  <c r="J9" i="1"/>
  <c r="J10" i="1"/>
  <c r="J11" i="1"/>
  <c r="J12" i="1"/>
  <c r="J13" i="1"/>
  <c r="I6" i="1"/>
  <c r="I5" i="1"/>
  <c r="I4" i="1"/>
  <c r="I3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3" i="1"/>
  <c r="E5" i="1"/>
  <c r="E6" i="1"/>
  <c r="E7" i="1"/>
  <c r="E8" i="1"/>
  <c r="E9" i="1"/>
  <c r="E10" i="1"/>
  <c r="E11" i="1"/>
  <c r="E12" i="1"/>
  <c r="E13" i="1"/>
  <c r="E14" i="1"/>
  <c r="E15" i="1"/>
  <c r="E4" i="1"/>
</calcChain>
</file>

<file path=xl/sharedStrings.xml><?xml version="1.0" encoding="utf-8"?>
<sst xmlns="http://schemas.openxmlformats.org/spreadsheetml/2006/main" count="10" uniqueCount="10">
  <si>
    <t>peso</t>
  </si>
  <si>
    <t xml:space="preserve">dia </t>
  </si>
  <si>
    <t>diferencia</t>
  </si>
  <si>
    <t>velocidad</t>
  </si>
  <si>
    <t>aceleracion</t>
  </si>
  <si>
    <t>trapecio</t>
  </si>
  <si>
    <t>3 trapecios</t>
  </si>
  <si>
    <t>12 trapecios</t>
  </si>
  <si>
    <t>minima equidistancia para trabajar (7)</t>
  </si>
  <si>
    <t>Error verdadero para trapecios pequeños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</si>
</sst>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5657633420822391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Hoja1!$D$2</c:f>
              <c:strCache>
                <c:ptCount val="1"/>
                <c:pt idx="0">
                  <c:v>peso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Hoja1!$C$3:$C$15</c:f>
              <c:numCache>
                <c:formatCode>General</c:formatCode>
                <c:ptCount val="13"/>
                <c:pt idx="0">
                  <c:v>0</c:v>
                </c:pt>
                <c:pt idx="1">
                  <c:v>7</c:v>
                </c:pt>
                <c:pt idx="2">
                  <c:v>14</c:v>
                </c:pt>
                <c:pt idx="3">
                  <c:v>21</c:v>
                </c:pt>
                <c:pt idx="4">
                  <c:v>28</c:v>
                </c:pt>
                <c:pt idx="5">
                  <c:v>35</c:v>
                </c:pt>
                <c:pt idx="6">
                  <c:v>42</c:v>
                </c:pt>
                <c:pt idx="7">
                  <c:v>49</c:v>
                </c:pt>
                <c:pt idx="8">
                  <c:v>56</c:v>
                </c:pt>
                <c:pt idx="9">
                  <c:v>63</c:v>
                </c:pt>
                <c:pt idx="10">
                  <c:v>70</c:v>
                </c:pt>
                <c:pt idx="11">
                  <c:v>77</c:v>
                </c:pt>
                <c:pt idx="12">
                  <c:v>84</c:v>
                </c:pt>
              </c:numCache>
            </c:numRef>
          </c:xVal>
          <c:yVal>
            <c:numRef>
              <c:f>Hoja1!$D$3:$D$15</c:f>
              <c:numCache>
                <c:formatCode>General</c:formatCode>
                <c:ptCount val="13"/>
                <c:pt idx="0">
                  <c:v>0.02</c:v>
                </c:pt>
                <c:pt idx="1">
                  <c:v>7.6999999999999999E-2</c:v>
                </c:pt>
                <c:pt idx="2">
                  <c:v>0.20599999999999999</c:v>
                </c:pt>
                <c:pt idx="3">
                  <c:v>0.43099999999999999</c:v>
                </c:pt>
                <c:pt idx="4">
                  <c:v>0.76600000000000001</c:v>
                </c:pt>
                <c:pt idx="5">
                  <c:v>1.163</c:v>
                </c:pt>
                <c:pt idx="6">
                  <c:v>1.5589999999999999</c:v>
                </c:pt>
                <c:pt idx="7">
                  <c:v>1.907</c:v>
                </c:pt>
                <c:pt idx="8">
                  <c:v>2.1800000000000002</c:v>
                </c:pt>
                <c:pt idx="9">
                  <c:v>2.3769999999999998</c:v>
                </c:pt>
                <c:pt idx="10">
                  <c:v>2.5110000000000001</c:v>
                </c:pt>
                <c:pt idx="11">
                  <c:v>2.6040000000000001</c:v>
                </c:pt>
                <c:pt idx="12">
                  <c:v>2.67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66-49A3-906E-FE6630524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592432"/>
        <c:axId val="1089589072"/>
      </c:scatterChart>
      <c:valAx>
        <c:axId val="108959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9589072"/>
        <c:crosses val="autoZero"/>
        <c:crossBetween val="midCat"/>
      </c:valAx>
      <c:valAx>
        <c:axId val="108958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959243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27554809101103"/>
          <c:y val="0.1722775036656756"/>
          <c:w val="0.82749152160326223"/>
          <c:h val="0.7963993138496561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Hoja1!$F$3:$F$15</c:f>
              <c:numCache>
                <c:formatCode>General</c:formatCode>
                <c:ptCount val="13"/>
                <c:pt idx="0">
                  <c:v>5.2857142857142842E-3</c:v>
                </c:pt>
                <c:pt idx="1">
                  <c:v>1.0285714285714287E-2</c:v>
                </c:pt>
                <c:pt idx="2">
                  <c:v>1.3714285714285715E-2</c:v>
                </c:pt>
                <c:pt idx="3">
                  <c:v>1.5714285714285715E-2</c:v>
                </c:pt>
                <c:pt idx="4">
                  <c:v>8.8571428571428568E-3</c:v>
                </c:pt>
                <c:pt idx="5">
                  <c:v>-1.4285714285715883E-4</c:v>
                </c:pt>
                <c:pt idx="6">
                  <c:v>-6.8571428571428316E-3</c:v>
                </c:pt>
                <c:pt idx="7">
                  <c:v>-1.0714285714285707E-2</c:v>
                </c:pt>
                <c:pt idx="8">
                  <c:v>-1.085714285714293E-2</c:v>
                </c:pt>
                <c:pt idx="9">
                  <c:v>-8.999999999999897E-3</c:v>
                </c:pt>
                <c:pt idx="10">
                  <c:v>-5.8571428571429097E-3</c:v>
                </c:pt>
                <c:pt idx="11">
                  <c:v>-3.8571428571428762E-3</c:v>
                </c:pt>
                <c:pt idx="12">
                  <c:v>-9.428571428571406E-3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E9-4416-A11A-9817C13D0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764496"/>
        <c:axId val="1192030128"/>
      </c:scatterChart>
      <c:valAx>
        <c:axId val="100576449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2030128"/>
        <c:crosses val="autoZero"/>
        <c:crossBetween val="midCat"/>
      </c:valAx>
      <c:valAx>
        <c:axId val="119203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5764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Aceleración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Hoja1!$G$3:$G$15</c:f>
              <c:numCache>
                <c:formatCode>General</c:formatCode>
                <c:ptCount val="13"/>
                <c:pt idx="0">
                  <c:v>7.1428571428571472E-4</c:v>
                </c:pt>
                <c:pt idx="1">
                  <c:v>4.8979591836734691E-4</c:v>
                </c:pt>
                <c:pt idx="2">
                  <c:v>2.8571428571428574E-4</c:v>
                </c:pt>
                <c:pt idx="3">
                  <c:v>-9.7959183673469404E-4</c:v>
                </c:pt>
                <c:pt idx="4">
                  <c:v>-1.2857142857142878E-3</c:v>
                </c:pt>
                <c:pt idx="5">
                  <c:v>-9.5918367346938178E-4</c:v>
                </c:pt>
                <c:pt idx="6">
                  <c:v>-5.5102040816326799E-4</c:v>
                </c:pt>
                <c:pt idx="7">
                  <c:v>-2.0408163265317469E-5</c:v>
                </c:pt>
                <c:pt idx="8">
                  <c:v>2.653061224490047E-4</c:v>
                </c:pt>
                <c:pt idx="9">
                  <c:v>4.4897959183671246E-4</c:v>
                </c:pt>
                <c:pt idx="10">
                  <c:v>2.8571428571429051E-4</c:v>
                </c:pt>
                <c:pt idx="11">
                  <c:v>-7.9591836734693277E-4</c:v>
                </c:pt>
                <c:pt idx="12">
                  <c:v>1.3469387755102008E-3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5E-427E-8B83-0653FBE12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830832"/>
        <c:axId val="1195828912"/>
      </c:scatterChart>
      <c:valAx>
        <c:axId val="119583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5828912"/>
        <c:crosses val="autoZero"/>
        <c:crossBetween val="midCat"/>
      </c:valAx>
      <c:valAx>
        <c:axId val="119582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5830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185158</xdr:colOff>
      <xdr:row>1</xdr:row>
      <xdr:rowOff>22861</xdr:rowOff>
    </xdr:from>
    <xdr:to>
      <xdr:col>17</xdr:col>
      <xdr:colOff>56971</xdr:colOff>
      <xdr:row>12</xdr:row>
      <xdr:rowOff>28486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0A048C-7325-6A24-71D8-8D5330DEDE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459336</xdr:colOff>
      <xdr:row>15</xdr:row>
      <xdr:rowOff>170916</xdr:rowOff>
    </xdr:from>
    <xdr:to>
      <xdr:col>10</xdr:col>
      <xdr:colOff>313345</xdr:colOff>
      <xdr:row>25</xdr:row>
      <xdr:rowOff>71215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3E90A6F-F818-37A9-E1C9-A447232F6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274177</xdr:colOff>
      <xdr:row>16</xdr:row>
      <xdr:rowOff>9970</xdr:rowOff>
    </xdr:from>
    <xdr:to>
      <xdr:col>5</xdr:col>
      <xdr:colOff>384560</xdr:colOff>
      <xdr:row>25</xdr:row>
      <xdr:rowOff>156673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A8110B9-FC28-7884-EBC3-6967605AD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CE285-408E-4EAA-971B-826CDB347BBA}">
  <dimension ref="C1:K15"/>
  <sheetViews>
    <sheetView tabSelected="1" zoomScale="107" workbookViewId="0">
      <selection activeCell="K4" sqref="K4"/>
    </sheetView>
  </sheetViews>
  <sheetFormatPr baseColWidth="10" defaultRowHeight="14.4" x14ac:dyDescent="0.3"/>
  <sheetData>
    <row r="1" spans="3:11" x14ac:dyDescent="0.3">
      <c r="J1" t="s">
        <v>8</v>
      </c>
    </row>
    <row r="2" spans="3:11" x14ac:dyDescent="0.3">
      <c r="C2" t="s">
        <v>1</v>
      </c>
      <c r="D2" t="s">
        <v>0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9</v>
      </c>
    </row>
    <row r="3" spans="3:11" x14ac:dyDescent="0.3">
      <c r="C3">
        <v>0</v>
      </c>
      <c r="D3">
        <v>0.02</v>
      </c>
      <c r="E3">
        <v>0.02</v>
      </c>
      <c r="F3">
        <f xml:space="preserve"> (E4-E3)/7</f>
        <v>5.2857142857142842E-3</v>
      </c>
      <c r="G3">
        <f>(F4-F3)/7</f>
        <v>7.1428571428571472E-4</v>
      </c>
      <c r="H3" s="2">
        <f>((D15+D3)/2)*(C15-C3)</f>
        <v>112.98</v>
      </c>
      <c r="I3" s="1">
        <f>((D7+D3)/2)*(C7-C3)</f>
        <v>11.004000000000001</v>
      </c>
      <c r="J3" s="1">
        <f>((D4+D3)/2)*(C4-C3)</f>
        <v>0.33950000000000002</v>
      </c>
      <c r="K3">
        <f>(-1/12)*G4*((7)^3)</f>
        <v>-1.3999999999999999E-2</v>
      </c>
    </row>
    <row r="4" spans="3:11" x14ac:dyDescent="0.3">
      <c r="C4">
        <v>7</v>
      </c>
      <c r="D4">
        <v>7.6999999999999999E-2</v>
      </c>
      <c r="E4">
        <f>D4-D3</f>
        <v>5.6999999999999995E-2</v>
      </c>
      <c r="F4">
        <f t="shared" ref="F4:F15" si="0" xml:space="preserve"> (E5-E4)/7</f>
        <v>1.0285714285714287E-2</v>
      </c>
      <c r="G4">
        <f t="shared" ref="G4:G15" si="1">(F5-F4)/7</f>
        <v>4.8979591836734691E-4</v>
      </c>
      <c r="I4" s="1">
        <f>((D11+D7)/2)*(C11-C7)</f>
        <v>41.244</v>
      </c>
      <c r="J4" s="1">
        <f t="shared" ref="J4:J13" si="2">((D5+D4)/2)*(C5-C4)</f>
        <v>0.99049999999999994</v>
      </c>
    </row>
    <row r="5" spans="3:11" x14ac:dyDescent="0.3">
      <c r="C5">
        <v>14</v>
      </c>
      <c r="D5">
        <v>0.20599999999999999</v>
      </c>
      <c r="E5">
        <f t="shared" ref="E5:E15" si="3">D5-D4</f>
        <v>0.129</v>
      </c>
      <c r="F5">
        <f t="shared" si="0"/>
        <v>1.3714285714285715E-2</v>
      </c>
      <c r="G5">
        <f t="shared" si="1"/>
        <v>2.8571428571428574E-4</v>
      </c>
      <c r="I5" s="1">
        <f>((D15+D11)/2)*(C15-C11)</f>
        <v>67.899999999999991</v>
      </c>
      <c r="J5" s="1">
        <f t="shared" si="2"/>
        <v>2.2294999999999998</v>
      </c>
    </row>
    <row r="6" spans="3:11" x14ac:dyDescent="0.3">
      <c r="C6">
        <v>21</v>
      </c>
      <c r="D6">
        <v>0.43099999999999999</v>
      </c>
      <c r="E6">
        <f t="shared" si="3"/>
        <v>0.22500000000000001</v>
      </c>
      <c r="F6">
        <f t="shared" si="0"/>
        <v>1.5714285714285715E-2</v>
      </c>
      <c r="G6">
        <f t="shared" si="1"/>
        <v>-9.7959183673469404E-4</v>
      </c>
      <c r="I6" s="2">
        <f>I3+I4+I5</f>
        <v>120.148</v>
      </c>
      <c r="J6" s="1">
        <f t="shared" si="2"/>
        <v>4.1895000000000007</v>
      </c>
    </row>
    <row r="7" spans="3:11" x14ac:dyDescent="0.3">
      <c r="C7">
        <v>28</v>
      </c>
      <c r="D7">
        <v>0.76600000000000001</v>
      </c>
      <c r="E7">
        <f t="shared" si="3"/>
        <v>0.33500000000000002</v>
      </c>
      <c r="F7">
        <f t="shared" si="0"/>
        <v>8.8571428571428568E-3</v>
      </c>
      <c r="G7">
        <f t="shared" si="1"/>
        <v>-1.2857142857142878E-3</v>
      </c>
      <c r="J7" s="1">
        <f t="shared" si="2"/>
        <v>6.7515000000000001</v>
      </c>
    </row>
    <row r="8" spans="3:11" x14ac:dyDescent="0.3">
      <c r="C8">
        <v>35</v>
      </c>
      <c r="D8">
        <v>1.163</v>
      </c>
      <c r="E8">
        <f t="shared" si="3"/>
        <v>0.39700000000000002</v>
      </c>
      <c r="F8">
        <f t="shared" si="0"/>
        <v>-1.4285714285715883E-4</v>
      </c>
      <c r="G8">
        <f t="shared" si="1"/>
        <v>-9.5918367346938178E-4</v>
      </c>
      <c r="J8" s="1">
        <f t="shared" si="2"/>
        <v>9.5269999999999992</v>
      </c>
    </row>
    <row r="9" spans="3:11" x14ac:dyDescent="0.3">
      <c r="C9">
        <v>42</v>
      </c>
      <c r="D9">
        <v>1.5589999999999999</v>
      </c>
      <c r="E9">
        <f t="shared" si="3"/>
        <v>0.39599999999999991</v>
      </c>
      <c r="F9">
        <f t="shared" si="0"/>
        <v>-6.8571428571428316E-3</v>
      </c>
      <c r="G9">
        <f t="shared" si="1"/>
        <v>-5.5102040816326799E-4</v>
      </c>
      <c r="J9" s="1">
        <f t="shared" si="2"/>
        <v>12.131</v>
      </c>
    </row>
    <row r="10" spans="3:11" x14ac:dyDescent="0.3">
      <c r="C10">
        <v>49</v>
      </c>
      <c r="D10">
        <v>1.907</v>
      </c>
      <c r="E10">
        <f t="shared" si="3"/>
        <v>0.34800000000000009</v>
      </c>
      <c r="F10">
        <f t="shared" si="0"/>
        <v>-1.0714285714285707E-2</v>
      </c>
      <c r="G10">
        <f t="shared" si="1"/>
        <v>-2.0408163265317469E-5</v>
      </c>
      <c r="J10" s="1">
        <f t="shared" si="2"/>
        <v>14.304499999999999</v>
      </c>
    </row>
    <row r="11" spans="3:11" x14ac:dyDescent="0.3">
      <c r="C11">
        <v>56</v>
      </c>
      <c r="D11">
        <v>2.1800000000000002</v>
      </c>
      <c r="E11">
        <f t="shared" si="3"/>
        <v>0.27300000000000013</v>
      </c>
      <c r="F11">
        <f t="shared" si="0"/>
        <v>-1.085714285714293E-2</v>
      </c>
      <c r="G11">
        <f t="shared" si="1"/>
        <v>2.653061224490047E-4</v>
      </c>
      <c r="J11" s="1">
        <f t="shared" si="2"/>
        <v>15.9495</v>
      </c>
    </row>
    <row r="12" spans="3:11" x14ac:dyDescent="0.3">
      <c r="C12">
        <v>63</v>
      </c>
      <c r="D12">
        <v>2.3769999999999998</v>
      </c>
      <c r="E12">
        <f t="shared" si="3"/>
        <v>0.19699999999999962</v>
      </c>
      <c r="F12">
        <f t="shared" si="0"/>
        <v>-8.999999999999897E-3</v>
      </c>
      <c r="G12">
        <f t="shared" si="1"/>
        <v>4.4897959183671246E-4</v>
      </c>
      <c r="J12" s="1">
        <f t="shared" si="2"/>
        <v>17.108000000000001</v>
      </c>
    </row>
    <row r="13" spans="3:11" x14ac:dyDescent="0.3">
      <c r="C13">
        <v>70</v>
      </c>
      <c r="D13">
        <v>2.5110000000000001</v>
      </c>
      <c r="E13">
        <f t="shared" si="3"/>
        <v>0.13400000000000034</v>
      </c>
      <c r="F13">
        <f t="shared" si="0"/>
        <v>-5.8571428571429097E-3</v>
      </c>
      <c r="G13">
        <f t="shared" si="1"/>
        <v>2.8571428571429051E-4</v>
      </c>
      <c r="J13" s="1">
        <f t="shared" si="2"/>
        <v>17.9025</v>
      </c>
    </row>
    <row r="14" spans="3:11" x14ac:dyDescent="0.3">
      <c r="C14">
        <v>77</v>
      </c>
      <c r="D14">
        <v>2.6040000000000001</v>
      </c>
      <c r="E14">
        <f t="shared" si="3"/>
        <v>9.2999999999999972E-2</v>
      </c>
      <c r="F14">
        <f t="shared" si="0"/>
        <v>-3.8571428571428762E-3</v>
      </c>
      <c r="G14">
        <f t="shared" si="1"/>
        <v>-7.9591836734693277E-4</v>
      </c>
      <c r="J14" s="1">
        <f>((D15+D14)/2)*(C15-C14)</f>
        <v>18.459</v>
      </c>
    </row>
    <row r="15" spans="3:11" x14ac:dyDescent="0.3">
      <c r="C15">
        <v>84</v>
      </c>
      <c r="D15">
        <v>2.67</v>
      </c>
      <c r="E15">
        <f t="shared" si="3"/>
        <v>6.5999999999999837E-2</v>
      </c>
      <c r="F15">
        <f t="shared" si="0"/>
        <v>-9.428571428571406E-3</v>
      </c>
      <c r="G15">
        <f t="shared" si="1"/>
        <v>1.3469387755102008E-3</v>
      </c>
      <c r="J15" s="3">
        <f>SUM(J3:J14)</f>
        <v>119.88200000000001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buscandomicel@gmail.com</dc:creator>
  <cp:lastModifiedBy>buscandomicel@gmail.com</cp:lastModifiedBy>
  <dcterms:created xsi:type="dcterms:W3CDTF">2025-10-16T20:02:43Z</dcterms:created>
  <dcterms:modified xsi:type="dcterms:W3CDTF">2025-10-17T00:55:35Z</dcterms:modified>
</cp:coreProperties>
</file>