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ocuments\UNIVERSIDAD\Analisis Numerico\Temas parcial2\"/>
    </mc:Choice>
  </mc:AlternateContent>
  <xr:revisionPtr revIDLastSave="0" documentId="13_ncr:1_{F97C9A31-71B0-4C2B-8F39-FCD171EF0373}" xr6:coauthVersionLast="47" xr6:coauthVersionMax="47" xr10:uidLastSave="{00000000-0000-0000-0000-000000000000}"/>
  <bookViews>
    <workbookView xWindow="-105" yWindow="0" windowWidth="14610" windowHeight="16305" xr2:uid="{8656CF94-FCBC-4984-ABED-932AB5C1F2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9" i="1" s="1"/>
  <c r="I7" i="1"/>
  <c r="C17" i="1"/>
  <c r="C16" i="1"/>
  <c r="C15" i="1"/>
  <c r="C14" i="1"/>
  <c r="D14" i="1" s="1"/>
  <c r="E13" i="1" s="1"/>
  <c r="C13" i="1"/>
  <c r="D13" i="1" s="1"/>
  <c r="C12" i="1"/>
  <c r="D12" i="1" s="1"/>
  <c r="C11" i="1"/>
  <c r="C10" i="1"/>
  <c r="C9" i="1"/>
  <c r="C8" i="1"/>
  <c r="C7" i="1"/>
  <c r="C6" i="1"/>
  <c r="D6" i="1" s="1"/>
  <c r="D7" i="1" l="1"/>
  <c r="E6" i="1" s="1"/>
  <c r="D10" i="1"/>
  <c r="D8" i="1"/>
  <c r="D15" i="1"/>
  <c r="E14" i="1" s="1"/>
  <c r="D16" i="1"/>
  <c r="D17" i="1"/>
  <c r="E17" i="1" s="1"/>
  <c r="D9" i="1"/>
  <c r="E8" i="1" s="1"/>
  <c r="E9" i="1"/>
  <c r="E12" i="1"/>
  <c r="E15" i="1"/>
  <c r="D5" i="1"/>
  <c r="E5" i="1" s="1"/>
  <c r="D11" i="1"/>
  <c r="E10" i="1" s="1"/>
  <c r="E16" i="1"/>
  <c r="E7" i="1" l="1"/>
  <c r="E11" i="1"/>
</calcChain>
</file>

<file path=xl/sharedStrings.xml><?xml version="1.0" encoding="utf-8"?>
<sst xmlns="http://schemas.openxmlformats.org/spreadsheetml/2006/main" count="23" uniqueCount="23">
  <si>
    <t>Metodo de simpson 1/3</t>
  </si>
  <si>
    <t>Se trabaja cuando requerimos multiplos de 3</t>
  </si>
  <si>
    <t xml:space="preserve">dia </t>
  </si>
  <si>
    <t>peso</t>
  </si>
  <si>
    <t>diferencia</t>
  </si>
  <si>
    <t>velocidad</t>
  </si>
  <si>
    <t>aceleracion</t>
  </si>
  <si>
    <t>Requsitos:</t>
  </si>
  <si>
    <t>Consistencia</t>
  </si>
  <si>
    <t>Estabilidad</t>
  </si>
  <si>
    <t>Convergencia</t>
  </si>
  <si>
    <t>----------&gt;</t>
  </si>
  <si>
    <t>Ia = (b-a)* (f(x0) + 4f(x1) + f(x2) )/ 6</t>
  </si>
  <si>
    <t>2 parabolas</t>
  </si>
  <si>
    <t>Toda la funcion</t>
  </si>
  <si>
    <t>Error</t>
  </si>
  <si>
    <t>donde f^4 ees la cuarta derivada</t>
  </si>
  <si>
    <t>y ? es la letra "zetta"</t>
  </si>
  <si>
    <t>f^1</t>
  </si>
  <si>
    <t>f^2</t>
  </si>
  <si>
    <t>f^3</t>
  </si>
  <si>
    <t>f^4</t>
  </si>
  <si>
    <t>Et = (-(b-a)^5/2880) f^4(?)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</si>
</sst>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Hoja1!$B$5:$B$17</c:f>
              <c:numCache>
                <c:formatCode>General</c:formatCode>
                <c:ptCount val="13"/>
                <c:pt idx="0">
                  <c:v>0.02</c:v>
                </c:pt>
                <c:pt idx="1">
                  <c:v>7.6999999999999999E-2</c:v>
                </c:pt>
                <c:pt idx="2">
                  <c:v>0.20599999999999999</c:v>
                </c:pt>
                <c:pt idx="3">
                  <c:v>0.43099999999999999</c:v>
                </c:pt>
                <c:pt idx="4">
                  <c:v>0.76600000000000001</c:v>
                </c:pt>
                <c:pt idx="5">
                  <c:v>1.163</c:v>
                </c:pt>
                <c:pt idx="6">
                  <c:v>1.5589999999999999</c:v>
                </c:pt>
                <c:pt idx="7">
                  <c:v>1.907</c:v>
                </c:pt>
                <c:pt idx="8">
                  <c:v>2.1800000000000002</c:v>
                </c:pt>
                <c:pt idx="9">
                  <c:v>2.3769999999999998</c:v>
                </c:pt>
                <c:pt idx="10">
                  <c:v>2.5110000000000001</c:v>
                </c:pt>
                <c:pt idx="11">
                  <c:v>2.6040000000000001</c:v>
                </c:pt>
                <c:pt idx="12">
                  <c:v>2.67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27-4B23-90CD-27278C656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63312"/>
        <c:axId val="2015567104"/>
      </c:scatterChart>
      <c:valAx>
        <c:axId val="4646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15567104"/>
        <c:crosses val="autoZero"/>
        <c:crossBetween val="midCat"/>
      </c:valAx>
      <c:valAx>
        <c:axId val="201556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46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762000</xdr:colOff>
      <xdr:row>1</xdr:row>
      <xdr:rowOff>38100</xdr:rowOff>
    </xdr:from>
    <xdr:to>
      <xdr:col>19</xdr:col>
      <xdr:colOff>579120</xdr:colOff>
      <xdr:row>16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7B0A46-54E4-1828-DB81-4DE87E415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2567-E461-4413-8CDC-14F309ED95C5}">
  <dimension ref="A1:K17"/>
  <sheetViews>
    <sheetView tabSelected="1" zoomScale="96" workbookViewId="0">
      <selection activeCell="A5" sqref="A5:B17"/>
    </sheetView>
  </sheetViews>
  <sheetFormatPr baseColWidth="10" defaultRowHeight="15" x14ac:dyDescent="0.25"/>
  <cols>
    <col min="9" max="9" width="13" customWidth="1"/>
  </cols>
  <sheetData>
    <row r="1" spans="1:11" x14ac:dyDescent="0.25">
      <c r="A1" t="s">
        <v>0</v>
      </c>
      <c r="I1" t="s">
        <v>7</v>
      </c>
    </row>
    <row r="2" spans="1:11" x14ac:dyDescent="0.25">
      <c r="A2" s="4" t="s">
        <v>1</v>
      </c>
      <c r="B2" s="4"/>
      <c r="C2" s="4"/>
      <c r="D2" s="4"/>
      <c r="I2" t="s">
        <v>8</v>
      </c>
      <c r="J2" s="2" t="s">
        <v>11</v>
      </c>
      <c r="K2" t="s">
        <v>10</v>
      </c>
    </row>
    <row r="3" spans="1:11" x14ac:dyDescent="0.25">
      <c r="D3" t="s">
        <v>18</v>
      </c>
      <c r="E3" t="s">
        <v>19</v>
      </c>
      <c r="F3" t="s">
        <v>20</v>
      </c>
      <c r="G3" t="s">
        <v>21</v>
      </c>
      <c r="I3" t="s">
        <v>9</v>
      </c>
    </row>
    <row r="4" spans="1:11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11" x14ac:dyDescent="0.25">
      <c r="A5">
        <v>0</v>
      </c>
      <c r="B5">
        <v>0.02</v>
      </c>
      <c r="C5">
        <v>0.02</v>
      </c>
      <c r="D5">
        <f xml:space="preserve"> (C6-C5)/7</f>
        <v>5.2857142857142842E-3</v>
      </c>
      <c r="E5">
        <f>(D6-D5)/7</f>
        <v>7.1428571428571472E-4</v>
      </c>
      <c r="I5" s="2" t="s">
        <v>12</v>
      </c>
    </row>
    <row r="6" spans="1:11" x14ac:dyDescent="0.25">
      <c r="A6">
        <v>7</v>
      </c>
      <c r="B6">
        <v>7.6999999999999999E-2</v>
      </c>
      <c r="C6">
        <f>B6-B5</f>
        <v>5.6999999999999995E-2</v>
      </c>
      <c r="D6">
        <f t="shared" ref="D6:D17" si="0" xml:space="preserve"> (C7-C6)/7</f>
        <v>1.0285714285714287E-2</v>
      </c>
      <c r="E6">
        <f t="shared" ref="E6:E17" si="1">(D7-D6)/7</f>
        <v>4.8979591836734691E-4</v>
      </c>
      <c r="I6" t="s">
        <v>14</v>
      </c>
      <c r="J6" t="s">
        <v>13</v>
      </c>
    </row>
    <row r="7" spans="1:11" x14ac:dyDescent="0.25">
      <c r="A7">
        <v>14</v>
      </c>
      <c r="B7">
        <v>0.20599999999999999</v>
      </c>
      <c r="C7">
        <f t="shared" ref="C7:C17" si="2">B7-B6</f>
        <v>0.129</v>
      </c>
      <c r="D7">
        <f t="shared" si="0"/>
        <v>1.3714285714285715E-2</v>
      </c>
      <c r="E7">
        <f t="shared" si="1"/>
        <v>2.8571428571428574E-4</v>
      </c>
      <c r="I7" s="3">
        <f>(A17-A5)*(((B5)+(4*(B11))+(B17))/6)</f>
        <v>124.96399999999998</v>
      </c>
      <c r="J7" s="1">
        <f>(A11-A5)*(((B5)+(4*(B8))+(B11))/6)</f>
        <v>23.120999999999999</v>
      </c>
    </row>
    <row r="8" spans="1:11" x14ac:dyDescent="0.25">
      <c r="A8">
        <v>21</v>
      </c>
      <c r="B8">
        <v>0.43099999999999999</v>
      </c>
      <c r="C8">
        <f t="shared" si="2"/>
        <v>0.22500000000000001</v>
      </c>
      <c r="D8">
        <f t="shared" si="0"/>
        <v>1.5714285714285715E-2</v>
      </c>
      <c r="E8">
        <f t="shared" si="1"/>
        <v>-9.7959183673469404E-4</v>
      </c>
      <c r="J8" s="1">
        <f>(A17-A11)*(((B11)+(4*(B14))+(B17))/6)</f>
        <v>96.158999999999992</v>
      </c>
    </row>
    <row r="9" spans="1:11" x14ac:dyDescent="0.25">
      <c r="A9">
        <v>28</v>
      </c>
      <c r="B9">
        <v>0.76600000000000001</v>
      </c>
      <c r="C9">
        <f t="shared" si="2"/>
        <v>0.33500000000000002</v>
      </c>
      <c r="D9">
        <f t="shared" si="0"/>
        <v>8.8571428571428568E-3</v>
      </c>
      <c r="E9">
        <f t="shared" si="1"/>
        <v>-1.2857142857142878E-3</v>
      </c>
      <c r="J9" s="3">
        <f>SUM(J7:J8)</f>
        <v>119.27999999999999</v>
      </c>
    </row>
    <row r="10" spans="1:11" x14ac:dyDescent="0.25">
      <c r="A10">
        <v>35</v>
      </c>
      <c r="B10">
        <v>1.163</v>
      </c>
      <c r="C10">
        <f t="shared" si="2"/>
        <v>0.39700000000000002</v>
      </c>
      <c r="D10">
        <f t="shared" si="0"/>
        <v>-1.4285714285715883E-4</v>
      </c>
      <c r="E10">
        <f t="shared" si="1"/>
        <v>-9.5918367346938178E-4</v>
      </c>
    </row>
    <row r="11" spans="1:11" x14ac:dyDescent="0.25">
      <c r="A11">
        <v>42</v>
      </c>
      <c r="B11">
        <v>1.5589999999999999</v>
      </c>
      <c r="C11">
        <f t="shared" si="2"/>
        <v>0.39599999999999991</v>
      </c>
      <c r="D11">
        <f t="shared" si="0"/>
        <v>-6.8571428571428316E-3</v>
      </c>
      <c r="E11">
        <f t="shared" si="1"/>
        <v>-5.5102040816326799E-4</v>
      </c>
      <c r="I11" t="s">
        <v>15</v>
      </c>
    </row>
    <row r="12" spans="1:11" x14ac:dyDescent="0.25">
      <c r="A12">
        <v>49</v>
      </c>
      <c r="B12">
        <v>1.907</v>
      </c>
      <c r="C12">
        <f t="shared" si="2"/>
        <v>0.34800000000000009</v>
      </c>
      <c r="D12">
        <f t="shared" si="0"/>
        <v>-1.0714285714285707E-2</v>
      </c>
      <c r="E12">
        <f t="shared" si="1"/>
        <v>-2.0408163265317469E-5</v>
      </c>
      <c r="I12" s="2" t="s">
        <v>22</v>
      </c>
      <c r="K12" t="s">
        <v>16</v>
      </c>
    </row>
    <row r="13" spans="1:11" x14ac:dyDescent="0.25">
      <c r="A13">
        <v>56</v>
      </c>
      <c r="B13">
        <v>2.1800000000000002</v>
      </c>
      <c r="C13">
        <f t="shared" si="2"/>
        <v>0.27300000000000013</v>
      </c>
      <c r="D13">
        <f t="shared" si="0"/>
        <v>-1.085714285714293E-2</v>
      </c>
      <c r="E13">
        <f t="shared" si="1"/>
        <v>2.653061224490047E-4</v>
      </c>
      <c r="K13" t="s">
        <v>17</v>
      </c>
    </row>
    <row r="14" spans="1:11" x14ac:dyDescent="0.25">
      <c r="A14">
        <v>63</v>
      </c>
      <c r="B14">
        <v>2.3769999999999998</v>
      </c>
      <c r="C14">
        <f t="shared" si="2"/>
        <v>0.19699999999999962</v>
      </c>
      <c r="D14">
        <f t="shared" si="0"/>
        <v>-8.999999999999897E-3</v>
      </c>
      <c r="E14">
        <f t="shared" si="1"/>
        <v>4.4897959183671246E-4</v>
      </c>
    </row>
    <row r="15" spans="1:11" x14ac:dyDescent="0.25">
      <c r="A15">
        <v>70</v>
      </c>
      <c r="B15">
        <v>2.5110000000000001</v>
      </c>
      <c r="C15">
        <f t="shared" si="2"/>
        <v>0.13400000000000034</v>
      </c>
      <c r="D15">
        <f t="shared" si="0"/>
        <v>-5.8571428571429097E-3</v>
      </c>
      <c r="E15">
        <f t="shared" si="1"/>
        <v>2.8571428571429051E-4</v>
      </c>
    </row>
    <row r="16" spans="1:11" x14ac:dyDescent="0.25">
      <c r="A16">
        <v>77</v>
      </c>
      <c r="B16">
        <v>2.6040000000000001</v>
      </c>
      <c r="C16">
        <f t="shared" si="2"/>
        <v>9.2999999999999972E-2</v>
      </c>
      <c r="D16">
        <f t="shared" si="0"/>
        <v>-3.8571428571428762E-3</v>
      </c>
      <c r="E16">
        <f t="shared" si="1"/>
        <v>-7.9591836734693277E-4</v>
      </c>
    </row>
    <row r="17" spans="1:5" x14ac:dyDescent="0.25">
      <c r="A17">
        <v>84</v>
      </c>
      <c r="B17">
        <v>2.67</v>
      </c>
      <c r="C17">
        <f t="shared" si="2"/>
        <v>6.5999999999999837E-2</v>
      </c>
      <c r="D17">
        <f t="shared" si="0"/>
        <v>-9.428571428571406E-3</v>
      </c>
      <c r="E17">
        <f t="shared" si="1"/>
        <v>1.3469387755102008E-3</v>
      </c>
    </row>
  </sheetData>
  <mergeCells count="1">
    <mergeCell ref="A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buscandomicel@gmail.com</dc:creator>
  <cp:lastModifiedBy>MARIA CAMILA GONZALEZ  BARAJAS</cp:lastModifiedBy>
  <dcterms:created xsi:type="dcterms:W3CDTF">2025-10-16T21:28:19Z</dcterms:created>
  <dcterms:modified xsi:type="dcterms:W3CDTF">2025-12-04T02:32:01Z</dcterms:modified>
</cp:coreProperties>
</file>