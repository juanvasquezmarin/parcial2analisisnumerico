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Documents\UNIVERSIDAD\Analisis Numerico\Temas parcial2\"/>
    </mc:Choice>
  </mc:AlternateContent>
  <xr:revisionPtr revIDLastSave="0" documentId="13_ncr:1_{D1C10951-A39E-4BC5-80E4-5AD617E5A808}" xr6:coauthVersionLast="47" xr6:coauthVersionMax="47" xr10:uidLastSave="{00000000-0000-0000-0000-000000000000}"/>
  <bookViews>
    <workbookView minimized="1" xWindow="3120" yWindow="1665" windowWidth="24555" windowHeight="14535" xr2:uid="{1F7E5B7A-3160-4CC7-9120-A7B4404F322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A5" i="2"/>
  <c r="G3" i="1"/>
  <c r="G4" i="1"/>
  <c r="G5" i="1"/>
  <c r="G6" i="1"/>
  <c r="G7" i="1"/>
  <c r="G8" i="1"/>
  <c r="G9" i="1"/>
  <c r="G10" i="1"/>
  <c r="G11" i="1"/>
  <c r="G2" i="1"/>
  <c r="L11" i="1"/>
  <c r="L12" i="1"/>
  <c r="L10" i="1"/>
  <c r="N4" i="1"/>
  <c r="N5" i="1"/>
  <c r="N6" i="1"/>
  <c r="N7" i="1"/>
  <c r="N8" i="1"/>
  <c r="N9" i="1"/>
  <c r="N10" i="1"/>
  <c r="N11" i="1"/>
  <c r="N3" i="1"/>
  <c r="L9" i="1"/>
  <c r="L8" i="1"/>
  <c r="L7" i="1"/>
  <c r="L6" i="1"/>
  <c r="L5" i="1"/>
  <c r="L4" i="1"/>
  <c r="L3" i="1"/>
  <c r="J3" i="1"/>
  <c r="J4" i="1"/>
  <c r="J5" i="1"/>
  <c r="J6" i="1"/>
  <c r="J7" i="1"/>
  <c r="J8" i="1"/>
  <c r="J9" i="1"/>
  <c r="J10" i="1"/>
  <c r="J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<sst xmlns="http://schemas.openxmlformats.org/spreadsheetml/2006/main" count="22" uniqueCount="22">
  <si>
    <t>t(s)</t>
  </si>
  <si>
    <t>t_obs(°c)</t>
  </si>
  <si>
    <t>p_meas(w)</t>
  </si>
  <si>
    <t>uncertainly_t(°c)</t>
  </si>
  <si>
    <t>t_mod_nom(°c)</t>
  </si>
  <si>
    <t>resid_mod(°c)</t>
  </si>
  <si>
    <t xml:space="preserve">metodos de ecuaciones diferenciales ordinarias </t>
  </si>
  <si>
    <t xml:space="preserve">metodo euler - metodo Heun </t>
  </si>
  <si>
    <t>modelo de enfriamiento de una CPU</t>
  </si>
  <si>
    <t>diferencia</t>
  </si>
  <si>
    <t>derivada #1</t>
  </si>
  <si>
    <t>derivada #2</t>
  </si>
  <si>
    <t xml:space="preserve">metodo de Heun </t>
  </si>
  <si>
    <t>yi+1 =yi +h[f (xi,yi) +f (xi+1,yi+1)/2]</t>
  </si>
  <si>
    <t>dy/dt = -y -5e^-t sin(5t)</t>
  </si>
  <si>
    <t>0&lt;=t&lt;=3</t>
  </si>
  <si>
    <t>cauchy: to=0,yo=1 h= 0.3</t>
  </si>
  <si>
    <t>t0</t>
  </si>
  <si>
    <t>y0</t>
  </si>
  <si>
    <t>h</t>
  </si>
  <si>
    <t>f(x+1,y+1)</t>
  </si>
  <si>
    <t>yi+1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</si>
</sst>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p_meas(w)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xVal>
            <c:numRef>
              <c:f>Hoja1!$A$2:$A$12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Hoja1!$B$2:$B$12</c:f>
              <c:numCache>
                <c:formatCode>General</c:formatCode>
                <c:ptCount val="11"/>
                <c:pt idx="0">
                  <c:v>50.993000000000002</c:v>
                </c:pt>
                <c:pt idx="1">
                  <c:v>51.295000000000002</c:v>
                </c:pt>
                <c:pt idx="2">
                  <c:v>49.531999999999996</c:v>
                </c:pt>
                <c:pt idx="3">
                  <c:v>53.158000000000001</c:v>
                </c:pt>
                <c:pt idx="4">
                  <c:v>49.061</c:v>
                </c:pt>
                <c:pt idx="5">
                  <c:v>49.073</c:v>
                </c:pt>
                <c:pt idx="6">
                  <c:v>50.484000000000002</c:v>
                </c:pt>
                <c:pt idx="7">
                  <c:v>46.55</c:v>
                </c:pt>
                <c:pt idx="8">
                  <c:v>47.973999999999997</c:v>
                </c:pt>
                <c:pt idx="9">
                  <c:v>48.183999999999997</c:v>
                </c:pt>
                <c:pt idx="10">
                  <c:v>52.930999999999997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B7-4AA3-A3AF-8859C1AD9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407407"/>
        <c:axId val="1189017119"/>
      </c:scatterChart>
      <c:valAx>
        <c:axId val="124640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9017119"/>
        <c:crosses val="autoZero"/>
        <c:crossBetween val="midCat"/>
      </c:valAx>
      <c:valAx>
        <c:axId val="118901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46407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7.6204242585618823E-2"/>
          <c:y val="0.2237642585551331"/>
          <c:w val="0.84102603116639407"/>
          <c:h val="0.6107207369040846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t_obs(°c)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xVal>
            <c:numRef>
              <c:f>Hoja1!$A$2:$A$12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Hoja1!$C$2:$C$12</c:f>
              <c:numCache>
                <c:formatCode>General</c:formatCode>
                <c:ptCount val="11"/>
                <c:pt idx="0">
                  <c:v>39.889389000000001</c:v>
                </c:pt>
                <c:pt idx="1">
                  <c:v>40.266798000000001</c:v>
                </c:pt>
                <c:pt idx="2">
                  <c:v>37.999997999999998</c:v>
                </c:pt>
                <c:pt idx="3">
                  <c:v>38.022129999999997</c:v>
                </c:pt>
                <c:pt idx="4">
                  <c:v>37.137248</c:v>
                </c:pt>
                <c:pt idx="5">
                  <c:v>35.692723000000001</c:v>
                </c:pt>
                <c:pt idx="6">
                  <c:v>33.957492000000002</c:v>
                </c:pt>
                <c:pt idx="7">
                  <c:v>34.516022999999997</c:v>
                </c:pt>
                <c:pt idx="8">
                  <c:v>34.744687999999996</c:v>
                </c:pt>
                <c:pt idx="9">
                  <c:v>32.935853999999999</c:v>
                </c:pt>
                <c:pt idx="10">
                  <c:v>33.498173000000001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23-4D83-91A2-5B8A53826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915967"/>
        <c:axId val="1306918367"/>
      </c:scatterChart>
      <c:valAx>
        <c:axId val="130691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918367"/>
        <c:crosses val="autoZero"/>
        <c:crossBetween val="midCat"/>
      </c:valAx>
      <c:valAx>
        <c:axId val="130691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91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primera</a:t>
            </a:r>
            <a:r>
              <a:rPr lang="es-CO" baseline="0"/>
              <a:t> derivada</a:t>
            </a:r>
            <a:endParaRPr lang="es-CO"/>
          </a:p>
        </c:rich>
      </c:tx>
      <c:layout>
        <c:manualLayout>
          <c:xMode val="edge"/>
          <c:yMode val="edge"/>
          <c:x val="0.33988927738927743"/>
          <c:y val="5.2083333333333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yVal>
            <c:numRef>
              <c:f>Hoja1!$I$2:$I$12</c:f>
              <c:numCache>
                <c:formatCode>General</c:formatCode>
                <c:ptCount val="11"/>
                <c:pt idx="0">
                  <c:v>0.37740900000000011</c:v>
                </c:pt>
                <c:pt idx="1">
                  <c:v>-2.2668000000000035</c:v>
                </c:pt>
                <c:pt idx="2">
                  <c:v>2.2131999999999152E-2</c:v>
                </c:pt>
                <c:pt idx="3">
                  <c:v>-0.8848819999999975</c:v>
                </c:pt>
                <c:pt idx="4">
                  <c:v>-1.4445249999999987</c:v>
                </c:pt>
                <c:pt idx="5">
                  <c:v>-1.7352309999999989</c:v>
                </c:pt>
                <c:pt idx="6">
                  <c:v>0.558530999999995</c:v>
                </c:pt>
                <c:pt idx="7">
                  <c:v>0.22866499999999945</c:v>
                </c:pt>
                <c:pt idx="8">
                  <c:v>-1.8088339999999974</c:v>
                </c:pt>
                <c:pt idx="9">
                  <c:v>0.56231900000000223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9F-4FCF-8579-4AEC20245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000575"/>
        <c:axId val="1321995775"/>
      </c:scatterChart>
      <c:valAx>
        <c:axId val="132200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1995775"/>
        <c:crosses val="autoZero"/>
        <c:crossBetween val="midCat"/>
      </c:valAx>
      <c:valAx>
        <c:axId val="132199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200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segunda</a:t>
            </a:r>
            <a:r>
              <a:rPr lang="es-CO" baseline="0"/>
              <a:t> derivada</a:t>
            </a:r>
            <a:endParaRPr lang="es-CO"/>
          </a:p>
        </c:rich>
      </c:tx>
      <c:layout>
        <c:manualLayout>
          <c:xMode val="edge"/>
          <c:yMode val="edge"/>
          <c:x val="0.1995884773662551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yVal>
            <c:numRef>
              <c:f>Hoja1!$J$2:$J$11</c:f>
              <c:numCache>
                <c:formatCode>General</c:formatCode>
                <c:ptCount val="10"/>
                <c:pt idx="0">
                  <c:v>-2.6442090000000036</c:v>
                </c:pt>
                <c:pt idx="1">
                  <c:v>2.2889320000000026</c:v>
                </c:pt>
                <c:pt idx="2">
                  <c:v>-0.90701399999999666</c:v>
                </c:pt>
                <c:pt idx="3">
                  <c:v>-0.55964300000000122</c:v>
                </c:pt>
                <c:pt idx="4">
                  <c:v>-0.29070600000000013</c:v>
                </c:pt>
                <c:pt idx="5">
                  <c:v>2.2937619999999939</c:v>
                </c:pt>
                <c:pt idx="6">
                  <c:v>-0.32986599999999555</c:v>
                </c:pt>
                <c:pt idx="7">
                  <c:v>-2.0374989999999968</c:v>
                </c:pt>
                <c:pt idx="8">
                  <c:v>2.3711529999999996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96-4D1F-8E2B-7A3815483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365007"/>
        <c:axId val="1363367407"/>
      </c:scatterChart>
      <c:valAx>
        <c:axId val="136336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3367407"/>
        <c:crosses val="autoZero"/>
        <c:crossBetween val="midCat"/>
      </c:valAx>
      <c:valAx>
        <c:axId val="136336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3365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167640</xdr:rowOff>
    </xdr:from>
    <xdr:to>
      <xdr:col>3</xdr:col>
      <xdr:colOff>289560</xdr:colOff>
      <xdr:row>23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5D2351-3D51-A42C-0B56-FABDC6AE3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396240</xdr:colOff>
      <xdr:row>12</xdr:row>
      <xdr:rowOff>160020</xdr:rowOff>
    </xdr:from>
    <xdr:to>
      <xdr:col>6</xdr:col>
      <xdr:colOff>281940</xdr:colOff>
      <xdr:row>23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8ECA0B-A2E7-B06F-E23C-00C6EFE6F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693420</xdr:colOff>
      <xdr:row>12</xdr:row>
      <xdr:rowOff>129540</xdr:rowOff>
    </xdr:from>
    <xdr:to>
      <xdr:col>10</xdr:col>
      <xdr:colOff>152400</xdr:colOff>
      <xdr:row>23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163C881-81F2-CF99-F3AC-7A519FFA4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24</xdr:row>
      <xdr:rowOff>60960</xdr:rowOff>
    </xdr:from>
    <xdr:to>
      <xdr:col>6</xdr:col>
      <xdr:colOff>22860</xdr:colOff>
      <xdr:row>34</xdr:row>
      <xdr:rowOff>175260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B03ABE7-1CF6-1E3A-431D-206A12E27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72E6-C309-4405-B0E5-AB0E739CB158}">
  <dimension ref="A1:N29"/>
  <sheetViews>
    <sheetView tabSelected="1" workbookViewId="0">
      <selection activeCell="N20" sqref="N20"/>
    </sheetView>
  </sheetViews>
  <sheetFormatPr baseColWidth="10" defaultRowHeight="15" x14ac:dyDescent="0.25"/>
  <cols>
    <col min="2" max="2" width="13.42578125" customWidth="1"/>
    <col min="3" max="3" width="15.7109375" customWidth="1"/>
    <col min="4" max="4" width="14.140625" customWidth="1"/>
    <col min="5" max="5" width="17.42578125" customWidth="1"/>
    <col min="6" max="6" width="16.140625" customWidth="1"/>
  </cols>
  <sheetData>
    <row r="1" spans="1:14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9</v>
      </c>
      <c r="I1" t="s">
        <v>10</v>
      </c>
      <c r="J1" t="s">
        <v>11</v>
      </c>
    </row>
    <row r="2" spans="1:14" x14ac:dyDescent="0.25">
      <c r="A2">
        <v>0</v>
      </c>
      <c r="B2">
        <v>50.993000000000002</v>
      </c>
      <c r="C2">
        <v>39.889389000000001</v>
      </c>
      <c r="D2">
        <v>0.8</v>
      </c>
      <c r="G2">
        <f>(C3-C2)</f>
        <v>0.37740900000000011</v>
      </c>
      <c r="I2">
        <f>(C3-C2)/(A3-A2)</f>
        <v>0.37740900000000011</v>
      </c>
      <c r="J2">
        <f>(I3-I2)/(A3-A2)</f>
        <v>-2.6442090000000036</v>
      </c>
    </row>
    <row r="3" spans="1:14" x14ac:dyDescent="0.25">
      <c r="A3">
        <v>1</v>
      </c>
      <c r="B3">
        <v>51.295000000000002</v>
      </c>
      <c r="C3">
        <v>40.266798000000001</v>
      </c>
      <c r="D3">
        <v>0.8</v>
      </c>
      <c r="G3">
        <f t="shared" ref="G3:G11" si="0">(C4-C3)</f>
        <v>-2.2668000000000035</v>
      </c>
      <c r="I3">
        <f t="shared" ref="I3:I11" si="1">(C4-C3)/(A4-A3)</f>
        <v>-2.2668000000000035</v>
      </c>
      <c r="J3">
        <f t="shared" ref="J3:J10" si="2">(I4-I3)/(A4-A3)</f>
        <v>2.2889320000000026</v>
      </c>
      <c r="L3">
        <f>(C3-C2)*0.5+C2</f>
        <v>40.078093500000001</v>
      </c>
      <c r="N3">
        <f>I2/(C3-C2)</f>
        <v>1</v>
      </c>
    </row>
    <row r="4" spans="1:14" x14ac:dyDescent="0.25">
      <c r="A4">
        <v>2</v>
      </c>
      <c r="B4">
        <v>49.531999999999996</v>
      </c>
      <c r="C4">
        <v>37.999997999999998</v>
      </c>
      <c r="D4">
        <v>0.8</v>
      </c>
      <c r="G4">
        <f t="shared" si="0"/>
        <v>2.2131999999999152E-2</v>
      </c>
      <c r="I4">
        <f t="shared" si="1"/>
        <v>2.2131999999999152E-2</v>
      </c>
      <c r="J4">
        <f t="shared" si="2"/>
        <v>-0.90701399999999666</v>
      </c>
      <c r="L4">
        <f>(C4-C3)*1+C3</f>
        <v>37.999997999999998</v>
      </c>
      <c r="N4">
        <f t="shared" ref="N4:N11" si="3">I3/(C4-C3)</f>
        <v>1</v>
      </c>
    </row>
    <row r="5" spans="1:14" x14ac:dyDescent="0.25">
      <c r="A5">
        <v>3</v>
      </c>
      <c r="B5">
        <v>53.158000000000001</v>
      </c>
      <c r="C5">
        <v>38.022129999999997</v>
      </c>
      <c r="D5">
        <v>0.8</v>
      </c>
      <c r="G5">
        <f t="shared" si="0"/>
        <v>-0.8848819999999975</v>
      </c>
      <c r="I5">
        <f t="shared" si="1"/>
        <v>-0.8848819999999975</v>
      </c>
      <c r="J5">
        <f t="shared" si="2"/>
        <v>-0.55964300000000122</v>
      </c>
      <c r="L5">
        <f>(C5-C4)*1.5 +C4</f>
        <v>38.033195999999997</v>
      </c>
      <c r="N5">
        <f t="shared" si="3"/>
        <v>1</v>
      </c>
    </row>
    <row r="6" spans="1:14" x14ac:dyDescent="0.25">
      <c r="A6">
        <v>4</v>
      </c>
      <c r="B6">
        <v>49.061</v>
      </c>
      <c r="C6">
        <v>37.137248</v>
      </c>
      <c r="D6">
        <v>0.8</v>
      </c>
      <c r="G6">
        <f t="shared" si="0"/>
        <v>-1.4445249999999987</v>
      </c>
      <c r="I6">
        <f t="shared" si="1"/>
        <v>-1.4445249999999987</v>
      </c>
      <c r="J6">
        <f t="shared" si="2"/>
        <v>-0.29070600000000013</v>
      </c>
      <c r="L6">
        <f>(C6-C5)*2 +C5</f>
        <v>36.252366000000002</v>
      </c>
      <c r="N6">
        <f t="shared" si="3"/>
        <v>1</v>
      </c>
    </row>
    <row r="7" spans="1:14" x14ac:dyDescent="0.25">
      <c r="A7">
        <v>5</v>
      </c>
      <c r="B7">
        <v>49.073</v>
      </c>
      <c r="C7">
        <v>35.692723000000001</v>
      </c>
      <c r="D7">
        <v>0.8</v>
      </c>
      <c r="G7">
        <f t="shared" si="0"/>
        <v>-1.7352309999999989</v>
      </c>
      <c r="I7">
        <f t="shared" si="1"/>
        <v>-1.7352309999999989</v>
      </c>
      <c r="J7">
        <f t="shared" si="2"/>
        <v>2.2937619999999939</v>
      </c>
      <c r="L7">
        <f>(C7-C6)*2.5 +C6</f>
        <v>33.525935500000003</v>
      </c>
      <c r="N7">
        <f t="shared" si="3"/>
        <v>1</v>
      </c>
    </row>
    <row r="8" spans="1:14" x14ac:dyDescent="0.25">
      <c r="A8">
        <v>6</v>
      </c>
      <c r="B8">
        <v>50.484000000000002</v>
      </c>
      <c r="C8">
        <v>33.957492000000002</v>
      </c>
      <c r="D8">
        <v>0.8</v>
      </c>
      <c r="G8">
        <f t="shared" si="0"/>
        <v>0.558530999999995</v>
      </c>
      <c r="I8">
        <f t="shared" si="1"/>
        <v>0.558530999999995</v>
      </c>
      <c r="J8">
        <f t="shared" si="2"/>
        <v>-0.32986599999999555</v>
      </c>
      <c r="L8">
        <f>(C8-C7)*3 +C7</f>
        <v>30.487030000000004</v>
      </c>
      <c r="N8">
        <f t="shared" si="3"/>
        <v>1</v>
      </c>
    </row>
    <row r="9" spans="1:14" x14ac:dyDescent="0.25">
      <c r="A9">
        <v>7</v>
      </c>
      <c r="B9">
        <v>46.55</v>
      </c>
      <c r="C9">
        <v>34.516022999999997</v>
      </c>
      <c r="D9">
        <v>0.8</v>
      </c>
      <c r="G9">
        <f t="shared" si="0"/>
        <v>0.22866499999999945</v>
      </c>
      <c r="I9">
        <f t="shared" si="1"/>
        <v>0.22866499999999945</v>
      </c>
      <c r="J9">
        <f t="shared" si="2"/>
        <v>-2.0374989999999968</v>
      </c>
      <c r="L9">
        <f>(C9-C8)*3.5 +C8</f>
        <v>35.912350499999988</v>
      </c>
      <c r="N9">
        <f t="shared" si="3"/>
        <v>1</v>
      </c>
    </row>
    <row r="10" spans="1:14" x14ac:dyDescent="0.25">
      <c r="A10">
        <v>8</v>
      </c>
      <c r="B10">
        <v>47.973999999999997</v>
      </c>
      <c r="C10">
        <v>34.744687999999996</v>
      </c>
      <c r="D10">
        <v>0.8</v>
      </c>
      <c r="G10">
        <f t="shared" si="0"/>
        <v>-1.8088339999999974</v>
      </c>
      <c r="I10">
        <f t="shared" si="1"/>
        <v>-1.8088339999999974</v>
      </c>
      <c r="J10">
        <f t="shared" si="2"/>
        <v>2.3711529999999996</v>
      </c>
      <c r="L10">
        <f>(C10-C9)*4 +C9</f>
        <v>35.430682999999995</v>
      </c>
      <c r="N10">
        <f t="shared" si="3"/>
        <v>1</v>
      </c>
    </row>
    <row r="11" spans="1:14" x14ac:dyDescent="0.25">
      <c r="A11">
        <v>9</v>
      </c>
      <c r="B11">
        <v>48.183999999999997</v>
      </c>
      <c r="C11">
        <v>32.935853999999999</v>
      </c>
      <c r="D11">
        <v>0.8</v>
      </c>
      <c r="G11">
        <f t="shared" si="0"/>
        <v>0.56231900000000223</v>
      </c>
      <c r="I11">
        <f t="shared" si="1"/>
        <v>0.56231900000000223</v>
      </c>
      <c r="L11">
        <f t="shared" ref="L11:L12" si="4">(C11-C10)*4 +C10</f>
        <v>27.509352000000007</v>
      </c>
      <c r="N11">
        <f t="shared" si="3"/>
        <v>1</v>
      </c>
    </row>
    <row r="12" spans="1:14" x14ac:dyDescent="0.25">
      <c r="A12">
        <v>10</v>
      </c>
      <c r="B12">
        <v>52.930999999999997</v>
      </c>
      <c r="C12">
        <v>33.498173000000001</v>
      </c>
      <c r="D12">
        <v>0.8</v>
      </c>
      <c r="L12">
        <f t="shared" si="4"/>
        <v>35.185130000000008</v>
      </c>
    </row>
    <row r="27" spans="1:1" x14ac:dyDescent="0.25">
      <c r="A27" t="s">
        <v>6</v>
      </c>
    </row>
    <row r="28" spans="1:1" x14ac:dyDescent="0.25">
      <c r="A28" t="s">
        <v>7</v>
      </c>
    </row>
    <row r="29" spans="1:1" x14ac:dyDescent="0.25">
      <c r="A29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AAA8-4B96-4913-8961-781D3E14868C}">
  <dimension ref="A4:E28"/>
  <sheetViews>
    <sheetView topLeftCell="A3" workbookViewId="0">
      <selection activeCell="E6" sqref="E6"/>
    </sheetView>
  </sheetViews>
  <sheetFormatPr baseColWidth="10" defaultRowHeight="15" x14ac:dyDescent="0.25"/>
  <sheetData>
    <row r="4" spans="1:5" x14ac:dyDescent="0.25">
      <c r="A4" t="s">
        <v>21</v>
      </c>
      <c r="B4" t="s">
        <v>17</v>
      </c>
      <c r="C4" t="s">
        <v>18</v>
      </c>
      <c r="D4" t="s">
        <v>19</v>
      </c>
      <c r="E4" t="s">
        <v>20</v>
      </c>
    </row>
    <row r="5" spans="1:5" x14ac:dyDescent="0.25">
      <c r="A5">
        <f>((-5*(EXP(1)^(-B5)))*SIN(5*B5))-C5</f>
        <v>-1</v>
      </c>
      <c r="B5">
        <v>0</v>
      </c>
      <c r="C5">
        <v>1</v>
      </c>
      <c r="D5">
        <v>0.3</v>
      </c>
      <c r="E5">
        <f>((-5*(EXP(1)^(-(B5+D5))))*SIN(5*(B5+D5)))-A5</f>
        <v>-2.6948123055747479</v>
      </c>
    </row>
    <row r="23" spans="1:1" x14ac:dyDescent="0.25">
      <c r="A23" t="s">
        <v>12</v>
      </c>
    </row>
    <row r="24" spans="1:1" x14ac:dyDescent="0.25">
      <c r="A24" t="s">
        <v>13</v>
      </c>
    </row>
    <row r="26" spans="1:1" x14ac:dyDescent="0.25">
      <c r="A26" t="s">
        <v>14</v>
      </c>
    </row>
    <row r="27" spans="1:1" x14ac:dyDescent="0.25">
      <c r="A27" t="s">
        <v>15</v>
      </c>
    </row>
    <row r="28" spans="1:1" x14ac:dyDescent="0.25">
      <c r="A2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buscandomicel@gmail.com</dc:creator>
  <cp:lastModifiedBy>MARIA CAMILA GONZALEZ  BARAJAS</cp:lastModifiedBy>
  <dcterms:created xsi:type="dcterms:W3CDTF">2025-10-23T19:35:02Z</dcterms:created>
  <dcterms:modified xsi:type="dcterms:W3CDTF">2025-12-04T02:31:57Z</dcterms:modified>
</cp:coreProperties>
</file>